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esktop\Sales_ETL_Project\"/>
    </mc:Choice>
  </mc:AlternateContent>
  <xr:revisionPtr revIDLastSave="0" documentId="8_{39202CB8-FCFD-40B6-850B-180D20E75052}" xr6:coauthVersionLast="47" xr6:coauthVersionMax="47" xr10:uidLastSave="{00000000-0000-0000-0000-000000000000}"/>
  <bookViews>
    <workbookView xWindow="-108" yWindow="-108" windowWidth="23256" windowHeight="12456" activeTab="1" xr2:uid="{DE17A7E1-7125-4DC3-927E-9E24093AE2EA}"/>
  </bookViews>
  <sheets>
    <sheet name="Dashboard" sheetId="2" r:id="rId1"/>
    <sheet name="Sales_Performance_Data" sheetId="1" r:id="rId2"/>
  </sheets>
  <definedNames>
    <definedName name="Slicer_Region">#N/A</definedName>
  </definedNames>
  <calcPr calcId="191029"/>
  <pivotCaches>
    <pivotCache cacheId="0"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2" l="1"/>
  <c r="P2" i="2"/>
  <c r="P1" i="2"/>
</calcChain>
</file>

<file path=xl/sharedStrings.xml><?xml version="1.0" encoding="utf-8"?>
<sst xmlns="http://schemas.openxmlformats.org/spreadsheetml/2006/main" count="34" uniqueCount="22">
  <si>
    <t>Emp_ID</t>
  </si>
  <si>
    <t>Name</t>
  </si>
  <si>
    <t>Region</t>
  </si>
  <si>
    <t>Base_Salary</t>
  </si>
  <si>
    <t>Target</t>
  </si>
  <si>
    <t>Total_Sales</t>
  </si>
  <si>
    <t>Incentive_Bonus</t>
  </si>
  <si>
    <t>Performance_Status</t>
  </si>
  <si>
    <t>Aditi Sharma</t>
  </si>
  <si>
    <t>North</t>
  </si>
  <si>
    <t>Target Met</t>
  </si>
  <si>
    <t>Rohan Patel</t>
  </si>
  <si>
    <t>West</t>
  </si>
  <si>
    <t>Target Missed</t>
  </si>
  <si>
    <t>Priya Singh</t>
  </si>
  <si>
    <t>South</t>
  </si>
  <si>
    <t>Amit Kumar</t>
  </si>
  <si>
    <t>Row Labels</t>
  </si>
  <si>
    <t>Grand Total</t>
  </si>
  <si>
    <t>Sum of Target</t>
  </si>
  <si>
    <t>Sum of Total_Sales</t>
  </si>
  <si>
    <t>Sum of Incentive_Bonus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</si>
</sst>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43" fontId="0" fillId="0" borderId="0" xfId="1" applyFont="1"/>
    <xf numFmtId="0" fontId="17"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Dashboard!$B$15</c:f>
              <c:strCache>
                <c:ptCount val="1"/>
                <c:pt idx="0">
                  <c:v>Sum of Target</c:v>
                </c:pt>
              </c:strCache>
            </c:strRef>
          </c:tx>
          <c:spPr>
            <a:solidFill>
              <a:schemeClr val="accent1"/>
            </a:solidFill>
            <a:ln>
              <a:noFill/>
            </a:ln>
            <a:effectLst/>
          </c:spPr>
          <c:invertIfNegative val="0"/>
          <c:cat>
            <c:strRef>
              <c:f>Dashboard!$A$16:$A$19</c:f>
              <c:strCache>
                <c:ptCount val="3"/>
                <c:pt idx="0">
                  <c:v>North</c:v>
                </c:pt>
                <c:pt idx="1">
                  <c:v>South</c:v>
                </c:pt>
                <c:pt idx="2">
                  <c:v>West</c:v>
                </c:pt>
              </c:strCache>
            </c:strRef>
          </c:cat>
          <c:val>
            <c:numRef>
              <c:f>Dashboard!$B$16:$B$19</c:f>
              <c:numCache>
                <c:formatCode>General</c:formatCode>
                <c:ptCount val="3"/>
                <c:pt idx="0">
                  <c:v>145000</c:v>
                </c:pt>
                <c:pt idx="1">
                  <c:v>80000</c:v>
                </c:pt>
                <c:pt idx="2">
                  <c:v>60000</c:v>
                </c:pt>
              </c:numCache>
            </c:numRef>
          </c:val>
          <c:extLst>
            <c:ext xmlns:c16="http://schemas.microsoft.com/office/drawing/2014/chart" uri="{C3380CC4-5D6E-409C-BE32-E72D297353CC}">
              <c16:uniqueId val="{00000000-5639-433C-B543-EC3FA83D9D79}"/>
            </c:ext>
          </c:extLst>
        </c:ser>
        <c:ser>
          <c:idx val="1"/>
          <c:order val="1"/>
          <c:tx>
            <c:strRef>
              <c:f>Dashboard!$C$15</c:f>
              <c:strCache>
                <c:ptCount val="1"/>
                <c:pt idx="0">
                  <c:v>Sum of Total_Sales</c:v>
                </c:pt>
              </c:strCache>
            </c:strRef>
          </c:tx>
          <c:spPr>
            <a:solidFill>
              <a:schemeClr val="accent2"/>
            </a:solidFill>
            <a:ln>
              <a:noFill/>
            </a:ln>
            <a:effectLst/>
          </c:spPr>
          <c:invertIfNegative val="0"/>
          <c:cat>
            <c:strRef>
              <c:f>Dashboard!$A$16:$A$19</c:f>
              <c:strCache>
                <c:ptCount val="3"/>
                <c:pt idx="0">
                  <c:v>North</c:v>
                </c:pt>
                <c:pt idx="1">
                  <c:v>South</c:v>
                </c:pt>
                <c:pt idx="2">
                  <c:v>West</c:v>
                </c:pt>
              </c:strCache>
            </c:strRef>
          </c:cat>
          <c:val>
            <c:numRef>
              <c:f>Dashboard!$C$16:$C$19</c:f>
              <c:numCache>
                <c:formatCode>General</c:formatCode>
                <c:ptCount val="3"/>
                <c:pt idx="0">
                  <c:v>150000</c:v>
                </c:pt>
                <c:pt idx="1">
                  <c:v>90000</c:v>
                </c:pt>
                <c:pt idx="2">
                  <c:v>55000</c:v>
                </c:pt>
              </c:numCache>
            </c:numRef>
          </c:val>
          <c:extLst>
            <c:ext xmlns:c16="http://schemas.microsoft.com/office/drawing/2014/chart" uri="{C3380CC4-5D6E-409C-BE32-E72D297353CC}">
              <c16:uniqueId val="{00000001-5639-433C-B543-EC3FA83D9D79}"/>
            </c:ext>
          </c:extLst>
        </c:ser>
        <c:dLbls>
          <c:showLegendKey val="0"/>
          <c:showVal val="0"/>
          <c:showCatName val="0"/>
          <c:showSerName val="0"/>
          <c:showPercent val="0"/>
          <c:showBubbleSize val="0"/>
        </c:dLbls>
        <c:gapWidth val="219"/>
        <c:overlap val="-27"/>
        <c:axId val="2076888399"/>
        <c:axId val="2146279055"/>
      </c:barChart>
      <c:catAx>
        <c:axId val="207688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279055"/>
        <c:crosses val="autoZero"/>
        <c:auto val="1"/>
        <c:lblAlgn val="ctr"/>
        <c:lblOffset val="100"/>
        <c:noMultiLvlLbl val="0"/>
      </c:catAx>
      <c:valAx>
        <c:axId val="214627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8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Incentive Bonus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B7-4B52-B0F6-3AE6A06115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B7-4B52-B0F6-3AE6A06115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B7-4B52-B0F6-3AE6A06115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B7-4B52-B0F6-3AE6A06115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Dashboard!$A$23:$A$27</c:f>
              <c:strCache>
                <c:ptCount val="4"/>
                <c:pt idx="0">
                  <c:v>Aditi Sharma</c:v>
                </c:pt>
                <c:pt idx="1">
                  <c:v>Amit Kumar</c:v>
                </c:pt>
                <c:pt idx="2">
                  <c:v>Priya Singh</c:v>
                </c:pt>
                <c:pt idx="3">
                  <c:v>Rohan Patel</c:v>
                </c:pt>
              </c:strCache>
            </c:strRef>
          </c:cat>
          <c:val>
            <c:numRef>
              <c:f>Dashboard!$B$23:$B$27</c:f>
              <c:numCache>
                <c:formatCode>General</c:formatCode>
                <c:ptCount val="4"/>
                <c:pt idx="0">
                  <c:v>8500</c:v>
                </c:pt>
                <c:pt idx="1">
                  <c:v>0</c:v>
                </c:pt>
                <c:pt idx="2">
                  <c:v>9000</c:v>
                </c:pt>
                <c:pt idx="3">
                  <c:v>0</c:v>
                </c:pt>
              </c:numCache>
            </c:numRef>
          </c:val>
          <c:extLst>
            <c:ext xmlns:c16="http://schemas.microsoft.com/office/drawing/2014/chart" uri="{C3380CC4-5D6E-409C-BE32-E72D297353CC}">
              <c16:uniqueId val="{00000000-1F6A-4D24-B430-40F6AD3C87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106680</xdr:rowOff>
    </xdr:from>
    <xdr:to>
      <xdr:col>11</xdr:col>
      <xdr:colOff>388620</xdr:colOff>
      <xdr:row>20</xdr:row>
      <xdr:rowOff>83820</xdr:rowOff>
    </xdr:to>
    <xdr:graphicFrame macro="">
      <xdr:nvGraphicFramePr>
        <xdr:cNvPr id="2" name="Chart 1">
          <a:extLst>
            <a:ext uri="{FF2B5EF4-FFF2-40B4-BE49-F238E27FC236}">
              <a16:creationId xmlns:a16="http://schemas.microsoft.com/office/drawing/2014/main" id="{73A1F2AC-11A2-AEC7-6409-B6DE92378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20</xdr:row>
      <xdr:rowOff>171450</xdr:rowOff>
    </xdr:from>
    <xdr:to>
      <xdr:col>11</xdr:col>
      <xdr:colOff>388620</xdr:colOff>
      <xdr:row>31</xdr:row>
      <xdr:rowOff>15240</xdr:rowOff>
    </xdr:to>
    <xdr:graphicFrame macro="">
      <xdr:nvGraphicFramePr>
        <xdr:cNvPr id="3" name="Chart 2">
          <a:extLst>
            <a:ext uri="{FF2B5EF4-FFF2-40B4-BE49-F238E27FC236}">
              <a16:creationId xmlns:a16="http://schemas.microsoft.com/office/drawing/2014/main" id="{6C57D2B2-CE86-5EBD-0845-357FA1183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3</xdr:col>
      <xdr:colOff>0</xdr:colOff>
      <xdr:row>1</xdr:row>
      <xdr:rowOff>152400</xdr:rowOff>
    </xdr:to>
    <xdr:sp macro="" textlink="">
      <xdr:nvSpPr>
        <xdr:cNvPr id="4" name="Rectangle 3">
          <a:extLst>
            <a:ext uri="{FF2B5EF4-FFF2-40B4-BE49-F238E27FC236}">
              <a16:creationId xmlns:a16="http://schemas.microsoft.com/office/drawing/2014/main" id="{6EAA6474-8859-79A6-0B5D-2CDF6A7838DA}"/>
            </a:ext>
          </a:extLst>
        </xdr:cNvPr>
        <xdr:cNvSpPr/>
      </xdr:nvSpPr>
      <xdr:spPr>
        <a:xfrm>
          <a:off x="0" y="0"/>
          <a:ext cx="3848100" cy="33528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mj-lt"/>
            </a:rPr>
            <a:t>Sales &amp; Incentive Performance Dashboard</a:t>
          </a:r>
        </a:p>
      </xdr:txBody>
    </xdr:sp>
    <xdr:clientData/>
  </xdr:twoCellAnchor>
  <xdr:twoCellAnchor>
    <xdr:from>
      <xdr:col>0</xdr:col>
      <xdr:colOff>144780</xdr:colOff>
      <xdr:row>2</xdr:row>
      <xdr:rowOff>76200</xdr:rowOff>
    </xdr:from>
    <xdr:to>
      <xdr:col>1</xdr:col>
      <xdr:colOff>845820</xdr:colOff>
      <xdr:row>7</xdr:row>
      <xdr:rowOff>76200</xdr:rowOff>
    </xdr:to>
    <xdr:sp macro="" textlink="P1">
      <xdr:nvSpPr>
        <xdr:cNvPr id="7" name="Rectangle: Rounded Corners 6">
          <a:extLst>
            <a:ext uri="{FF2B5EF4-FFF2-40B4-BE49-F238E27FC236}">
              <a16:creationId xmlns:a16="http://schemas.microsoft.com/office/drawing/2014/main" id="{2F000DD1-5BB3-BC86-7BE6-2631FEE2F030}"/>
            </a:ext>
          </a:extLst>
        </xdr:cNvPr>
        <xdr:cNvSpPr/>
      </xdr:nvSpPr>
      <xdr:spPr>
        <a:xfrm>
          <a:off x="144780" y="441960"/>
          <a:ext cx="15621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2B6A73-861D-4830-86A8-4D9675A72BEF}" type="TxLink">
            <a:rPr lang="en-US" sz="2400" b="1" i="0" u="none" strike="noStrike">
              <a:solidFill>
                <a:schemeClr val="bg1"/>
              </a:solidFill>
              <a:latin typeface="Calibri"/>
              <a:ea typeface="Calibri"/>
              <a:cs typeface="Calibri"/>
            </a:rPr>
            <a:pPr algn="ctr"/>
            <a:t>295000</a:t>
          </a:fld>
          <a:endParaRPr lang="en-IN" sz="2400" b="1">
            <a:solidFill>
              <a:schemeClr val="bg1"/>
            </a:solidFill>
          </a:endParaRPr>
        </a:p>
      </xdr:txBody>
    </xdr:sp>
    <xdr:clientData/>
  </xdr:twoCellAnchor>
  <xdr:twoCellAnchor>
    <xdr:from>
      <xdr:col>2</xdr:col>
      <xdr:colOff>22860</xdr:colOff>
      <xdr:row>2</xdr:row>
      <xdr:rowOff>83820</xdr:rowOff>
    </xdr:from>
    <xdr:to>
      <xdr:col>3</xdr:col>
      <xdr:colOff>411480</xdr:colOff>
      <xdr:row>7</xdr:row>
      <xdr:rowOff>83820</xdr:rowOff>
    </xdr:to>
    <xdr:sp macro="" textlink="P2">
      <xdr:nvSpPr>
        <xdr:cNvPr id="8" name="Rectangle: Rounded Corners 7">
          <a:extLst>
            <a:ext uri="{FF2B5EF4-FFF2-40B4-BE49-F238E27FC236}">
              <a16:creationId xmlns:a16="http://schemas.microsoft.com/office/drawing/2014/main" id="{F2D67550-C081-80D9-7B69-0A91EE0AEB4A}"/>
            </a:ext>
          </a:extLst>
        </xdr:cNvPr>
        <xdr:cNvSpPr/>
      </xdr:nvSpPr>
      <xdr:spPr>
        <a:xfrm>
          <a:off x="1760220" y="449580"/>
          <a:ext cx="155448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C26B97-FAE5-4047-8F61-C24CBB75F0B6}" type="TxLink">
            <a:rPr lang="en-US" sz="2400" b="1" i="0" u="none" strike="noStrike">
              <a:solidFill>
                <a:schemeClr val="bg1"/>
              </a:solidFill>
              <a:latin typeface="Calibri"/>
              <a:ea typeface="Calibri"/>
              <a:cs typeface="Calibri"/>
            </a:rPr>
            <a:pPr algn="ctr"/>
            <a:t>285000</a:t>
          </a:fld>
          <a:endParaRPr lang="en-IN" sz="2400" b="1">
            <a:solidFill>
              <a:schemeClr val="bg1"/>
            </a:solidFill>
          </a:endParaRPr>
        </a:p>
      </xdr:txBody>
    </xdr:sp>
    <xdr:clientData/>
  </xdr:twoCellAnchor>
  <xdr:twoCellAnchor>
    <xdr:from>
      <xdr:col>0</xdr:col>
      <xdr:colOff>838200</xdr:colOff>
      <xdr:row>7</xdr:row>
      <xdr:rowOff>129540</xdr:rowOff>
    </xdr:from>
    <xdr:to>
      <xdr:col>2</xdr:col>
      <xdr:colOff>647700</xdr:colOff>
      <xdr:row>12</xdr:row>
      <xdr:rowOff>129540</xdr:rowOff>
    </xdr:to>
    <xdr:sp macro="" textlink="P3">
      <xdr:nvSpPr>
        <xdr:cNvPr id="9" name="Rectangle: Rounded Corners 8">
          <a:extLst>
            <a:ext uri="{FF2B5EF4-FFF2-40B4-BE49-F238E27FC236}">
              <a16:creationId xmlns:a16="http://schemas.microsoft.com/office/drawing/2014/main" id="{316532F1-0421-5356-F8DE-8DE1C34D2737}"/>
            </a:ext>
          </a:extLst>
        </xdr:cNvPr>
        <xdr:cNvSpPr/>
      </xdr:nvSpPr>
      <xdr:spPr>
        <a:xfrm>
          <a:off x="838200" y="1409700"/>
          <a:ext cx="154686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6A60DC-0C07-40F2-B487-D23249BFE586}" type="TxLink">
            <a:rPr lang="en-US" sz="2400" b="1" i="0" u="none" strike="noStrike">
              <a:solidFill>
                <a:schemeClr val="bg1"/>
              </a:solidFill>
              <a:latin typeface="Calibri"/>
              <a:ea typeface="Calibri"/>
              <a:cs typeface="Calibri"/>
            </a:rPr>
            <a:pPr algn="ctr"/>
            <a:t>17500</a:t>
          </a:fld>
          <a:endParaRPr lang="en-IN" sz="2400" b="1">
            <a:solidFill>
              <a:schemeClr val="bg1"/>
            </a:solidFill>
          </a:endParaRPr>
        </a:p>
      </xdr:txBody>
    </xdr:sp>
    <xdr:clientData/>
  </xdr:twoCellAnchor>
  <xdr:oneCellAnchor>
    <xdr:from>
      <xdr:col>0</xdr:col>
      <xdr:colOff>502920</xdr:colOff>
      <xdr:row>2</xdr:row>
      <xdr:rowOff>60960</xdr:rowOff>
    </xdr:from>
    <xdr:ext cx="815340" cy="266700"/>
    <xdr:sp macro="" textlink="">
      <xdr:nvSpPr>
        <xdr:cNvPr id="12" name="TextBox 11">
          <a:extLst>
            <a:ext uri="{FF2B5EF4-FFF2-40B4-BE49-F238E27FC236}">
              <a16:creationId xmlns:a16="http://schemas.microsoft.com/office/drawing/2014/main" id="{0B99BBCA-9FCD-8098-3C07-3C55BA90BDFC}"/>
            </a:ext>
          </a:extLst>
        </xdr:cNvPr>
        <xdr:cNvSpPr txBox="1"/>
      </xdr:nvSpPr>
      <xdr:spPr>
        <a:xfrm>
          <a:off x="502920" y="426720"/>
          <a:ext cx="815340" cy="2667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Total</a:t>
          </a:r>
          <a:r>
            <a:rPr lang="en-IN" sz="1100" b="1" baseline="0">
              <a:solidFill>
                <a:schemeClr val="bg1"/>
              </a:solidFill>
            </a:rPr>
            <a:t> Sales</a:t>
          </a:r>
          <a:endParaRPr lang="en-IN" sz="1100" b="1">
            <a:solidFill>
              <a:schemeClr val="bg1"/>
            </a:solidFill>
          </a:endParaRPr>
        </a:p>
      </xdr:txBody>
    </xdr:sp>
    <xdr:clientData/>
  </xdr:oneCellAnchor>
  <xdr:oneCellAnchor>
    <xdr:from>
      <xdr:col>2</xdr:col>
      <xdr:colOff>350520</xdr:colOff>
      <xdr:row>2</xdr:row>
      <xdr:rowOff>53340</xdr:rowOff>
    </xdr:from>
    <xdr:ext cx="937260" cy="228600"/>
    <xdr:sp macro="" textlink="">
      <xdr:nvSpPr>
        <xdr:cNvPr id="13" name="TextBox 12">
          <a:extLst>
            <a:ext uri="{FF2B5EF4-FFF2-40B4-BE49-F238E27FC236}">
              <a16:creationId xmlns:a16="http://schemas.microsoft.com/office/drawing/2014/main" id="{2F5F3C9D-D1BF-4E6B-B725-CDD6E2E22783}"/>
            </a:ext>
          </a:extLst>
        </xdr:cNvPr>
        <xdr:cNvSpPr txBox="1"/>
      </xdr:nvSpPr>
      <xdr:spPr>
        <a:xfrm>
          <a:off x="2087880" y="419100"/>
          <a:ext cx="937260" cy="228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Total</a:t>
          </a:r>
          <a:r>
            <a:rPr lang="en-IN" sz="1100" b="1" baseline="0">
              <a:solidFill>
                <a:schemeClr val="bg1"/>
              </a:solidFill>
            </a:rPr>
            <a:t> Target</a:t>
          </a:r>
          <a:endParaRPr lang="en-IN" sz="1100" b="1">
            <a:solidFill>
              <a:schemeClr val="bg1"/>
            </a:solidFill>
          </a:endParaRPr>
        </a:p>
      </xdr:txBody>
    </xdr:sp>
    <xdr:clientData/>
  </xdr:oneCellAnchor>
  <xdr:oneCellAnchor>
    <xdr:from>
      <xdr:col>1</xdr:col>
      <xdr:colOff>541020</xdr:colOff>
      <xdr:row>7</xdr:row>
      <xdr:rowOff>106680</xdr:rowOff>
    </xdr:from>
    <xdr:ext cx="1104900" cy="243840"/>
    <xdr:sp macro="" textlink="">
      <xdr:nvSpPr>
        <xdr:cNvPr id="14" name="TextBox 13">
          <a:extLst>
            <a:ext uri="{FF2B5EF4-FFF2-40B4-BE49-F238E27FC236}">
              <a16:creationId xmlns:a16="http://schemas.microsoft.com/office/drawing/2014/main" id="{37DF0338-A033-43E2-A403-547803EC2B08}"/>
            </a:ext>
          </a:extLst>
        </xdr:cNvPr>
        <xdr:cNvSpPr txBox="1"/>
      </xdr:nvSpPr>
      <xdr:spPr>
        <a:xfrm>
          <a:off x="1402080" y="1386840"/>
          <a:ext cx="1104900" cy="2438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Total</a:t>
          </a:r>
          <a:r>
            <a:rPr lang="en-IN" sz="1100" b="1" baseline="0">
              <a:solidFill>
                <a:schemeClr val="bg1"/>
              </a:solidFill>
            </a:rPr>
            <a:t> Incentives</a:t>
          </a:r>
          <a:endParaRPr lang="en-IN" sz="1100" b="1">
            <a:solidFill>
              <a:schemeClr val="bg1"/>
            </a:solidFill>
          </a:endParaRPr>
        </a:p>
      </xdr:txBody>
    </xdr:sp>
    <xdr:clientData/>
  </xdr:oneCellAnchor>
  <xdr:twoCellAnchor editAs="oneCell">
    <xdr:from>
      <xdr:col>11</xdr:col>
      <xdr:colOff>533400</xdr:colOff>
      <xdr:row>2</xdr:row>
      <xdr:rowOff>106680</xdr:rowOff>
    </xdr:from>
    <xdr:to>
      <xdr:col>14</xdr:col>
      <xdr:colOff>533400</xdr:colOff>
      <xdr:row>16</xdr:row>
      <xdr:rowOff>13335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82B137D8-9D97-F273-BD4E-697C33F99B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1456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4.749209953705" createdVersion="8" refreshedVersion="8" minRefreshableVersion="3" recordCount="4" xr:uid="{17E7E0CC-38BF-4AA2-9234-0B6E9317202A}">
  <cacheSource type="worksheet">
    <worksheetSource name="Table1"/>
  </cacheSource>
  <cacheFields count="8">
    <cacheField name="Emp_ID" numFmtId="0">
      <sharedItems containsSemiMixedTypes="0" containsString="0" containsNumber="1" containsInteger="1" minValue="101" maxValue="104"/>
    </cacheField>
    <cacheField name="Name" numFmtId="0">
      <sharedItems count="4">
        <s v="Aditi Sharma"/>
        <s v="Rohan Patel"/>
        <s v="Priya Singh"/>
        <s v="Amit Kumar"/>
      </sharedItems>
    </cacheField>
    <cacheField name="Region" numFmtId="0">
      <sharedItems count="3">
        <s v="North"/>
        <s v="West"/>
        <s v="South"/>
      </sharedItems>
    </cacheField>
    <cacheField name="Base_Salary" numFmtId="0">
      <sharedItems containsSemiMixedTypes="0" containsString="0" containsNumber="1" containsInteger="1" minValue="48000" maxValue="52000"/>
    </cacheField>
    <cacheField name="Target" numFmtId="0">
      <sharedItems containsSemiMixedTypes="0" containsString="0" containsNumber="1" containsInteger="1" minValue="60000" maxValue="80000"/>
    </cacheField>
    <cacheField name="Total_Sales" numFmtId="0">
      <sharedItems containsSemiMixedTypes="0" containsString="0" containsNumber="1" containsInteger="1" minValue="55000" maxValue="90000"/>
    </cacheField>
    <cacheField name="Incentive_Bonus" numFmtId="0">
      <sharedItems containsSemiMixedTypes="0" containsString="0" containsNumber="1" containsInteger="1" minValue="0" maxValue="9000"/>
    </cacheField>
    <cacheField name="Performance_Status" numFmtId="0">
      <sharedItems/>
    </cacheField>
  </cacheFields>
  <extLst>
    <ext xmlns:x14="http://schemas.microsoft.com/office/spreadsheetml/2009/9/main" uri="{725AE2AE-9491-48be-B2B4-4EB974FC3084}">
      <x14:pivotCacheDefinition pivotCacheId="1232208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01"/>
    <x v="0"/>
    <x v="0"/>
    <n v="50000"/>
    <n v="75000"/>
    <n v="85000"/>
    <n v="8500"/>
    <s v="Target Met"/>
  </r>
  <r>
    <n v="102"/>
    <x v="1"/>
    <x v="1"/>
    <n v="48000"/>
    <n v="60000"/>
    <n v="55000"/>
    <n v="0"/>
    <s v="Target Missed"/>
  </r>
  <r>
    <n v="103"/>
    <x v="2"/>
    <x v="2"/>
    <n v="52000"/>
    <n v="80000"/>
    <n v="90000"/>
    <n v="9000"/>
    <s v="Target Met"/>
  </r>
  <r>
    <n v="104"/>
    <x v="3"/>
    <x v="0"/>
    <n v="49000"/>
    <n v="70000"/>
    <n v="65000"/>
    <n v="0"/>
    <s v="Target Miss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3042EA-5A80-4D51-837C-25AEEEF818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27" firstHeaderRow="1" firstDataRow="1" firstDataCol="1"/>
  <pivotFields count="8">
    <pivotField showAll="0"/>
    <pivotField axis="axisRow" showAll="0">
      <items count="5">
        <item x="0"/>
        <item x="3"/>
        <item x="2"/>
        <item x="1"/>
        <item t="default"/>
      </items>
    </pivotField>
    <pivotField showAll="0">
      <items count="4">
        <item x="0"/>
        <item x="2"/>
        <item x="1"/>
        <item t="default"/>
      </items>
    </pivotField>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Incentive_Bonus" fld="6" baseField="0" baseItem="0"/>
  </dataField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908C8-E786-441E-9FF7-4FAA3C7BD4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C19" firstHeaderRow="0" firstDataRow="1" firstDataCol="1"/>
  <pivotFields count="8">
    <pivotField showAll="0"/>
    <pivotField showAll="0"/>
    <pivotField axis="axisRow" showAll="0">
      <items count="4">
        <item x="0"/>
        <item x="2"/>
        <item x="1"/>
        <item t="default"/>
      </items>
    </pivotField>
    <pivotField showAll="0"/>
    <pivotField dataField="1" showAll="0"/>
    <pivotField dataField="1" showAll="0"/>
    <pivotField showAll="0"/>
    <pivotField showAll="0"/>
  </pivotFields>
  <rowFields count="1">
    <field x="2"/>
  </rowFields>
  <rowItems count="4">
    <i>
      <x/>
    </i>
    <i>
      <x v="1"/>
    </i>
    <i>
      <x v="2"/>
    </i>
    <i t="grand">
      <x/>
    </i>
  </rowItems>
  <colFields count="1">
    <field x="-2"/>
  </colFields>
  <colItems count="2">
    <i>
      <x/>
    </i>
    <i i="1">
      <x v="1"/>
    </i>
  </colItems>
  <dataFields count="2">
    <dataField name="Sum of Target" fld="4" baseField="0" baseItem="0"/>
    <dataField name="Sum of Total_Sales"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EED30D-1691-4F75-B500-943E7280FDFF}" sourceName="Region">
  <pivotTables>
    <pivotTable tabId="2" name="PivotTable1"/>
    <pivotTable tabId="2" name="PivotTable2"/>
  </pivotTables>
  <data>
    <tabular pivotCacheId="12322089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0C09C9-5137-495C-BF5E-2CED17C7374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042B03-6A81-413C-B669-93639412406B}" name="Table1" displayName="Table1" ref="A1:H5" totalsRowShown="0">
  <autoFilter ref="A1:H5" xr:uid="{42042B03-6A81-413C-B669-93639412406B}"/>
  <tableColumns count="8">
    <tableColumn id="1" xr3:uid="{E52CD540-7307-4C86-9E25-B1BF25443BE7}" name="Emp_ID"/>
    <tableColumn id="2" xr3:uid="{7B73A547-4217-492B-9DE1-547561752F45}" name="Name"/>
    <tableColumn id="3" xr3:uid="{DF20956E-F296-4DCF-A688-4E09F801F298}" name="Region"/>
    <tableColumn id="4" xr3:uid="{5D45E2B1-EC80-4502-A141-2A3061B33CB9}" name="Base_Salary"/>
    <tableColumn id="5" xr3:uid="{23E1B68A-F562-46FB-A3D1-67A2677B6D57}" name="Target"/>
    <tableColumn id="6" xr3:uid="{1C16E79B-A674-4755-A1F9-910651E1A891}" name="Total_Sales"/>
    <tableColumn id="7" xr3:uid="{A60988AC-9B28-4B7F-9B69-C44323B7199C}" name="Incentive_Bonus"/>
    <tableColumn id="8" xr3:uid="{4F9C6B7A-BD5A-40E6-958D-FE8922340BE3}" name="Performance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9A2C-773E-47EA-80FF-05F542DF4B40}">
  <dimension ref="A1:P27"/>
  <sheetViews>
    <sheetView showGridLines="0" workbookViewId="0">
      <selection activeCell="D10" sqref="D10"/>
    </sheetView>
  </sheetViews>
  <sheetFormatPr defaultRowHeight="14.4" x14ac:dyDescent="0.3"/>
  <cols>
    <col min="1" max="1" width="12.5546875" bestFit="1" customWidth="1"/>
    <col min="2" max="2" width="21.77734375" bestFit="1" customWidth="1"/>
    <col min="3" max="3" width="17" bestFit="1" customWidth="1"/>
    <col min="4" max="4" width="21.77734375" bestFit="1" customWidth="1"/>
  </cols>
  <sheetData>
    <row r="1" spans="1:16" x14ac:dyDescent="0.3">
      <c r="P1" s="4">
        <f>GETPIVOTDATA("Sum of Total_Sales",$A$15)</f>
        <v>295000</v>
      </c>
    </row>
    <row r="2" spans="1:16" x14ac:dyDescent="0.3">
      <c r="P2" s="4">
        <f>GETPIVOTDATA("Sum of Target",$A$15)</f>
        <v>285000</v>
      </c>
    </row>
    <row r="3" spans="1:16" x14ac:dyDescent="0.3">
      <c r="P3" s="4">
        <f>GETPIVOTDATA("Incentive_Bonus",$A$22)</f>
        <v>17500</v>
      </c>
    </row>
    <row r="9" spans="1:16" x14ac:dyDescent="0.3">
      <c r="D9" s="3"/>
    </row>
    <row r="15" spans="1:16" x14ac:dyDescent="0.3">
      <c r="A15" s="1" t="s">
        <v>17</v>
      </c>
      <c r="B15" t="s">
        <v>19</v>
      </c>
      <c r="C15" t="s">
        <v>20</v>
      </c>
    </row>
    <row r="16" spans="1:16" x14ac:dyDescent="0.3">
      <c r="A16" s="2" t="s">
        <v>9</v>
      </c>
      <c r="B16">
        <v>145000</v>
      </c>
      <c r="C16">
        <v>150000</v>
      </c>
    </row>
    <row r="17" spans="1:3" x14ac:dyDescent="0.3">
      <c r="A17" s="2" t="s">
        <v>15</v>
      </c>
      <c r="B17">
        <v>80000</v>
      </c>
      <c r="C17">
        <v>90000</v>
      </c>
    </row>
    <row r="18" spans="1:3" x14ac:dyDescent="0.3">
      <c r="A18" s="2" t="s">
        <v>12</v>
      </c>
      <c r="B18">
        <v>60000</v>
      </c>
      <c r="C18">
        <v>55000</v>
      </c>
    </row>
    <row r="19" spans="1:3" x14ac:dyDescent="0.3">
      <c r="A19" s="2" t="s">
        <v>18</v>
      </c>
      <c r="B19">
        <v>285000</v>
      </c>
      <c r="C19">
        <v>295000</v>
      </c>
    </row>
    <row r="22" spans="1:3" x14ac:dyDescent="0.3">
      <c r="A22" s="1" t="s">
        <v>17</v>
      </c>
      <c r="B22" t="s">
        <v>21</v>
      </c>
    </row>
    <row r="23" spans="1:3" x14ac:dyDescent="0.3">
      <c r="A23" s="2" t="s">
        <v>8</v>
      </c>
      <c r="B23">
        <v>8500</v>
      </c>
    </row>
    <row r="24" spans="1:3" x14ac:dyDescent="0.3">
      <c r="A24" s="2" t="s">
        <v>16</v>
      </c>
      <c r="B24">
        <v>0</v>
      </c>
    </row>
    <row r="25" spans="1:3" x14ac:dyDescent="0.3">
      <c r="A25" s="2" t="s">
        <v>14</v>
      </c>
      <c r="B25">
        <v>9000</v>
      </c>
    </row>
    <row r="26" spans="1:3" x14ac:dyDescent="0.3">
      <c r="A26" s="2" t="s">
        <v>11</v>
      </c>
      <c r="B26">
        <v>0</v>
      </c>
    </row>
    <row r="27" spans="1:3" x14ac:dyDescent="0.3">
      <c r="A27" s="2" t="s">
        <v>18</v>
      </c>
      <c r="B27">
        <v>17500</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B2BC0-0B33-434C-8812-89E6F4732E36}">
  <dimension ref="A1:H5"/>
  <sheetViews>
    <sheetView tabSelected="1" workbookViewId="0">
      <selection activeCell="F19" sqref="F19"/>
    </sheetView>
  </sheetViews>
  <sheetFormatPr defaultRowHeight="14.4" x14ac:dyDescent="0.3"/>
  <cols>
    <col min="1" max="1" width="9.44140625" customWidth="1"/>
    <col min="4" max="4" width="12.88671875" customWidth="1"/>
    <col min="6" max="6" width="12.33203125" customWidth="1"/>
    <col min="7" max="7" width="16.88671875" customWidth="1"/>
    <col min="8" max="8" width="20" customWidth="1"/>
  </cols>
  <sheetData>
    <row r="1" spans="1:8" x14ac:dyDescent="0.3">
      <c r="A1" t="s">
        <v>0</v>
      </c>
      <c r="B1" t="s">
        <v>1</v>
      </c>
      <c r="C1" t="s">
        <v>2</v>
      </c>
      <c r="D1" t="s">
        <v>3</v>
      </c>
      <c r="E1" t="s">
        <v>4</v>
      </c>
      <c r="F1" t="s">
        <v>5</v>
      </c>
      <c r="G1" t="s">
        <v>6</v>
      </c>
      <c r="H1" t="s">
        <v>7</v>
      </c>
    </row>
    <row r="2" spans="1:8" x14ac:dyDescent="0.3">
      <c r="A2">
        <v>101</v>
      </c>
      <c r="B2" t="s">
        <v>8</v>
      </c>
      <c r="C2" t="s">
        <v>9</v>
      </c>
      <c r="D2">
        <v>50000</v>
      </c>
      <c r="E2">
        <v>75000</v>
      </c>
      <c r="F2">
        <v>85000</v>
      </c>
      <c r="G2">
        <v>8500</v>
      </c>
      <c r="H2" t="s">
        <v>10</v>
      </c>
    </row>
    <row r="3" spans="1:8" x14ac:dyDescent="0.3">
      <c r="A3">
        <v>102</v>
      </c>
      <c r="B3" t="s">
        <v>11</v>
      </c>
      <c r="C3" t="s">
        <v>12</v>
      </c>
      <c r="D3">
        <v>48000</v>
      </c>
      <c r="E3">
        <v>60000</v>
      </c>
      <c r="F3">
        <v>55000</v>
      </c>
      <c r="G3">
        <v>0</v>
      </c>
      <c r="H3" t="s">
        <v>13</v>
      </c>
    </row>
    <row r="4" spans="1:8" x14ac:dyDescent="0.3">
      <c r="A4">
        <v>103</v>
      </c>
      <c r="B4" t="s">
        <v>14</v>
      </c>
      <c r="C4" t="s">
        <v>15</v>
      </c>
      <c r="D4">
        <v>52000</v>
      </c>
      <c r="E4">
        <v>80000</v>
      </c>
      <c r="F4">
        <v>90000</v>
      </c>
      <c r="G4">
        <v>9000</v>
      </c>
      <c r="H4" t="s">
        <v>10</v>
      </c>
    </row>
    <row r="5" spans="1:8" x14ac:dyDescent="0.3">
      <c r="A5">
        <v>104</v>
      </c>
      <c r="B5" t="s">
        <v>16</v>
      </c>
      <c r="C5" t="s">
        <v>9</v>
      </c>
      <c r="D5">
        <v>49000</v>
      </c>
      <c r="E5">
        <v>70000</v>
      </c>
      <c r="F5">
        <v>65000</v>
      </c>
      <c r="G5">
        <v>0</v>
      </c>
      <c r="H5" t="s">
        <v>13</v>
      </c>
    </row>
  </sheetData>
  <conditionalFormatting sqref="A1:H5">
    <cfRule type="containsText" dxfId="1" priority="1" operator="containsText" text="Target Missed">
      <formula>NOT(ISERROR(SEARCH("Target Missed",A1)))</formula>
    </cfRule>
    <cfRule type="containsText" dxfId="0" priority="2" operator="containsText" text="Target Met">
      <formula>NOT(ISERROR(SEARCH("Target Met",A1)))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Sales_Performance_Data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Utkarsha Mishra</dc:creator>
  <cp:lastModifiedBy>UTKARSHA MISHRA</cp:lastModifiedBy>
  <cp:lastPrinted>2026-08-20T12:49:38Z</cp:lastPrinted>
  <dcterms:created xsi:type="dcterms:W3CDTF">2026-08-20T18:50:08Z</dcterms:created>
  <dcterms:modified xsi:type="dcterms:W3CDTF">2026-08-20T18:50:08Z</dcterms:modified>
</cp:coreProperties>
</file>